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itor\Downloads\"/>
    </mc:Choice>
  </mc:AlternateContent>
  <xr:revisionPtr revIDLastSave="0" documentId="13_ncr:1_{29A1E5D8-1923-4623-B1B9-AB28CB51F49D}" xr6:coauthVersionLast="47" xr6:coauthVersionMax="47" xr10:uidLastSave="{00000000-0000-0000-0000-000000000000}"/>
  <bookViews>
    <workbookView xWindow="-120" yWindow="-120" windowWidth="29040" windowHeight="1572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3" l="1"/>
  <c r="E36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<sst xmlns="http://schemas.openxmlformats.org/spreadsheetml/2006/main" count="2022" uniqueCount="324">
  <si>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</si>
  <si>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</si>
  <si>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</si>
  <si>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</si>
  <si>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</si>
  <si>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</si>
  <si>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</si>
  <si>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</si>
  <si>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</si>
  <si>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</si>
  <si>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</si>
  <si>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</si>
  <si>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</si>
  <si>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</si>
  <si>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</si>
  <si>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</si>
  <si>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</si>
  <si>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</si>
  <si>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</si>
  <si>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</si>
  <si>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</si>
  <si>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</si>
  <si>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</si>
  <si>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</si>
  <si>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</si>
  <si>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</si>
  <si>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</si>
  <si>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</si>
  <si>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</si>
  <si>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</si>
  <si>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</si>
  <si>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</si>
  <si>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</si>
  <si>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</si>
  <si>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</si>
  <si>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</si>
  <si>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</si>
  <si>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</si>
  <si>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</si>
  <si>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</si>
  <si>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</si>
  <si>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</si>
  <si>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</si>
  <si>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</si>
  <si>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</si>
  <si>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</si>
  <si>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</si>
  <si>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</si>
  <si>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</si>
  <si>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</si>
  <si>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</si>
  <si>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</si>
  <si>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</si>
  <si>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</si>
  <si>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</si>
  <si>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</si>
  <si>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</si>
  <si>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</si>
  <si>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</si>
  <si>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</si>
  <si>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</si>
  <si>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</si>
  <si>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</si>
  <si>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</si>
  <si>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</si>
  <si>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</si>
  <si>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</si>
  <si>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</si>
  <si>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</si>
  <si>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</si>
  <si>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</si>
  <si>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</si>
  <si>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</si>
  <si>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</si>
  <si>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</si>
  <si>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</si>
  <si>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</si>
  <si>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</si>
  <si>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</si>
  <si>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</si>
  <si>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</si>
  <si>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</si>
  <si>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</si>
  <si>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</si>
  <si>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</si>
  <si>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</si>
  <si>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</si>
  <si>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</si>
  <si>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</si>
  <si>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</si>
  <si>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</si>
  <si>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</si>
  <si>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</si>
  <si>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</si>
  <si>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</si>
  <si>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</si>
  <si>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</si>
  <si>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</si>
  <si>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</si>
  <si>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</si>
  <si>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</si>
  <si>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</si>
  <si>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</si>
  <si>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</si>
  <si>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</si>
  <si>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</si>
  <si>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</si>
  <si>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</si>
  <si>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</si>
  <si>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</si>
  <si>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</si>
  <si>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</si>
  <si>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</si>
  <si>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</si>
  <si>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</si>
  <si>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</si>
  <si>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</si>
  <si>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</si>
  <si>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</si>
  <si>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</si>
  <si>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</si>
  <si>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</si>
  <si>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</si>
  <si>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</si>
  <si>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</si>
  <si>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</si>
  <si>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</si>
  <si>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</si>
  <si>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</si>
  <si>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</si>
  <si>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</si>
  <si>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</si>
  <si>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</si>
  <si>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</si>
  <si>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</si>
  <si>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</si>
  <si>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</si>
  <si>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</si>
  <si>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</si>
  <si>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</si>
  <si>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</si>
  <si>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</si>
  <si>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</si>
  <si>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</si>
  <si>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</si>
  <si>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</si>
  <si>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</si>
  <si>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</si>
  <si>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</si>
  <si>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</si>
  <si>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</si>
  <si>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</si>
  <si>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</si>
  <si>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</si>
  <si>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</si>
  <si>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</si>
  <si>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</si>
  <si>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</si>
  <si>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</si>
  <si>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</si>
  <si>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</si>
  <si>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</si>
  <si>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</si>
  <si>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</si>
  <si>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</si>
  <si>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</si>
  <si>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</si>
  <si>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</si>
  <si>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</si>
  <si>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</si>
  <si>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</si>
  <si>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</si>
  <si>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</si>
  <si>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</si>
  <si>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</si>
  <si>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</si>
  <si>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</si>
  <si>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</si>
  <si>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</si>
  <si>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</si>
  <si>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</si>
  <si>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</si>
  <si>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</si>
  <si>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</si>
  <si>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</si>
  <si>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</si>
  <si>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</si>
  <si>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</si>
  <si>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</si>
  <si>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</si>
  <si>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</si>
  <si>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</si>
  <si>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</si>
  <si>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</si>
  <si>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</si>
  <si>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</si>
  <si>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</si>
  <si>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</si>
  <si>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</si>
  <si>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</si>
  <si>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</si>
  <si>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</si>
  <si>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</si>
  <si>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</si>
  <si>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</si>
  <si>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</si>
  <si>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</si>
  <si>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</si>
  <si>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</si>
  <si>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</si>
  <si>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</si>
  <si>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</si>
  <si>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</si>
  <si>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</si>
  <si>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</si>
  <si>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</si>
  <si>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</si>
  <si>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</si>
  <si>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</si>
  <si>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</si>
  <si>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</si>
  <si>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</si>
  <si>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</si>
  <si>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</si>
  <si>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</si>
  <si>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</si>
  <si>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</si>
  <si>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</si>
  <si>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</si>
  <si>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</si>
  <si>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</si>
  <si>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</si>
  <si>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</si>
  <si>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</si>
  <si>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</si>
  <si>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</si>
  <si>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</si>
  <si>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</si>
  <si>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</si>
  <si>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</si>
  <si>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</si>
  <si>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</si>
  <si>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</si>
  <si>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</si>
  <si>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</si>
  <si>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</si>
  <si>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</si>
  <si>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</si>
  <si>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</si>
  <si>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</si>
  <si>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</si>
  <si>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</si>
  <si>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</si>
  <si>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</si>
  <si>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</si>
  <si>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</si>
  <si>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</si>
  <si>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</si>
  <si>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</si>
  <si>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</si>
  <si>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</si>
  <si>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</si>
  <si>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</si>
  <si>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</si>
  <si>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</si>
  <si>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</si>
  <si>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</si>
  <si>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</si>
  <si>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</si>
  <si>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</si>
  <si>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</si>
  <si>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</si>
  <si>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</si>
  <si>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</si>
  <si>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</si>
  <si>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</si>
  <si>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</si>
  <si>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</si>
  <si>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</si>
  <si>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</si>
  <si>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</si>
  <si>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</si>
  <si>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</si>
  <si>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</si>
  <si>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</si>
  <si>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</si>
  <si>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</si>
  <si>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</si>
  <si>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</si>
  <si>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</si>
  <si>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</si>
  <si>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</si>
  <si>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</si>
  <si>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</si>
  <si>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</si>
  <si>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</si>
  <si>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</si>
  <si>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</si>
  <si>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</si>
  <si>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</si>
  <si>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</si>
  <si>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</si>
  <si>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</si>
  <si>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</si>
  <si>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</si>
  <si>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</si>
  <si>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</si>
  <si>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</si>
  <si>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</si>
  <si>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</si>
  <si>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</si>
  <si>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</si>
  <si>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</si>
  <si>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 xml:space="preserve">Uma pergunta de negocio respondida atraves de alguma analise de dados especifica </t>
  </si>
  <si>
    <r>
      <t>Pergunta de Negócio 1- Qual faturamento</t>
    </r>
    <r>
      <rPr>
        <b/>
        <sz val="11"/>
        <color theme="1"/>
        <rFont val="Aptos Narrow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</si>
  <si>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Rótulos de Linha</t>
  </si>
  <si>
    <t>Total Geral</t>
  </si>
  <si>
    <t>Soma de Total Value</t>
  </si>
  <si>
    <t>Pergunta de Negócio 2- Qual faturamento Total de vendas de planos anuais, separado por auto renovação não é por auto renovação</t>
  </si>
  <si>
    <t>XBOX GAME PASS SUBSCRIPTIONS SALES</t>
  </si>
  <si>
    <t>Pergunta de Negócio 3- Total de vendas de assinaturas do EA Play</t>
  </si>
  <si>
    <t>Soma de EA Play Season Pass</t>
  </si>
  <si>
    <t>Pergunta de Negócio 4- Total de vendas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</si>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</sst>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rgb="FF00B050"/>
      <name val="Aptos Narrow"/>
      <family val="2"/>
      <scheme val="minor"/>
    </font>
    <font>
      <sz val="11"/>
      <name val="Aptos Narrow"/>
      <scheme val="minor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5" fillId="7" borderId="0" xfId="0" applyFont="1" applyFill="1"/>
    <xf numFmtId="0" fontId="5" fillId="0" borderId="0" xfId="0" applyFont="1"/>
    <xf numFmtId="0" fontId="6" fillId="0" borderId="0" xfId="0" applyFont="1"/>
    <xf numFmtId="0" fontId="1" fillId="0" borderId="2" xfId="1" applyBorder="1"/>
    <xf numFmtId="0" fontId="5" fillId="4" borderId="0" xfId="0" applyFont="1" applyFill="1"/>
    <xf numFmtId="44" fontId="0" fillId="0" borderId="0" xfId="2" applyFont="1"/>
    <xf numFmtId="0" fontId="0" fillId="0" borderId="0" xfId="0" applyNumberFormat="1"/>
    <xf numFmtId="0" fontId="0" fillId="0" borderId="2" xfId="0" applyBorder="1"/>
    <xf numFmtId="0" fontId="7" fillId="0" borderId="2" xfId="1" applyFont="1" applyBorder="1" applyAlignment="1">
      <alignment horizontal="left" indent="4"/>
    </xf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181C37B0-BA4F-41AE-A15D-2FFA1A2CC6AB}">
      <tableStyleElement type="wholeTable" dxfId="15"/>
      <tableStyleElement type="headerRow" dxfId="14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 dinâmica1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900" b="0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4829D91-0980-4EC0-B11B-695DF2371CD6}" type="VALUE">
                  <a:rPr lang="en-US">
                    <a:solidFill>
                      <a:schemeClr val="accent6">
                        <a:lumMod val="75000"/>
                      </a:schemeClr>
                    </a:solidFill>
                  </a:rPr>
                  <a:pPr algn="ctr" rtl="0">
                    <a:defRPr lang="en-US"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pt-BR"/>
              </a:p>
            </c:rich>
          </c:tx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9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rgbClr val="5BF6A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3E64340-E662-4CD4-9B8D-31B08D7806AD}" type="VALUE">
                  <a:rPr lang="en-US">
                    <a:solidFill>
                      <a:schemeClr val="accent6">
                        <a:lumMod val="75000"/>
                      </a:schemeClr>
                    </a:solidFill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233-47DB-8222-EB336C9E3961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233-47DB-8222-EB336C9E3961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ctr" rtl="0">
                      <a:defRPr lang="en-US" sz="900" b="0" i="0" u="none" strike="noStrike" kern="1200" baseline="0">
                        <a:solidFill>
                          <a:schemeClr val="accent6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4829D91-0980-4EC0-B11B-695DF2371CD6}" type="VALUE">
                      <a:rPr lang="en-US">
                        <a:solidFill>
                          <a:schemeClr val="accent6">
                            <a:lumMod val="75000"/>
                          </a:schemeClr>
                        </a:solidFill>
                      </a:rPr>
                      <a:pPr algn="ctr" rtl="0">
                        <a:defRPr lang="en-US" sz="900" b="0" i="0" u="none" strike="noStrike" kern="1200" baseline="0">
                          <a:solidFill>
                            <a:schemeClr val="accent6">
                              <a:lumMod val="7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[VALOR]</a:t>
                    </a:fld>
                    <a:endParaRPr lang="pt-BR"/>
                  </a:p>
                </c:rich>
              </c:tx>
              <c:numFmt formatCode="&quot;R$&quot;\ 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233-47DB-8222-EB336C9E396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3E64340-E662-4CD4-9B8D-31B08D7806AD}" type="VALUE">
                      <a:rPr lang="en-US">
                        <a:solidFill>
                          <a:schemeClr val="accent6">
                            <a:lumMod val="75000"/>
                          </a:schemeClr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233-47DB-8222-EB336C9E3961}"/>
                </c:ext>
              </c:extLst>
            </c:dLbl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General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33-47DB-8222-EB336C9E3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0405672"/>
        <c:axId val="710888472"/>
      </c:barChart>
      <c:catAx>
        <c:axId val="500405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0888472"/>
        <c:crosses val="autoZero"/>
        <c:auto val="1"/>
        <c:lblAlgn val="ctr"/>
        <c:lblOffset val="100"/>
        <c:noMultiLvlLbl val="0"/>
      </c:catAx>
      <c:valAx>
        <c:axId val="7108884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00405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85725</xdr:colOff>
      <xdr:row>21</xdr:row>
      <xdr:rowOff>161925</xdr:rowOff>
    </xdr:from>
    <xdr:to>
      <xdr:col>3</xdr:col>
      <xdr:colOff>85725</xdr:colOff>
      <xdr:row>28</xdr:row>
      <xdr:rowOff>47625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4133850"/>
          <a:ext cx="1371600" cy="1152525"/>
        </a:xfrm>
        <a:prstGeom prst="rect">
          <a:avLst/>
        </a:prstGeom>
      </xdr:spPr>
    </xdr:pic>
    <xdr:clientData/>
  </xdr:twoCellAnchor>
  <xdr:twoCellAnchor editAs="absolute">
    <xdr:from>
      <xdr:col>1</xdr:col>
      <xdr:colOff>247650</xdr:colOff>
      <xdr:row>27</xdr:row>
      <xdr:rowOff>161924</xdr:rowOff>
    </xdr:from>
    <xdr:to>
      <xdr:col>3</xdr:col>
      <xdr:colOff>654126</xdr:colOff>
      <xdr:row>31</xdr:row>
      <xdr:rowOff>152400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933450" y="5219699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2014536</xdr:colOff>
      <xdr:row>0</xdr:row>
      <xdr:rowOff>38100</xdr:rowOff>
    </xdr:from>
    <xdr:to>
      <xdr:col>2</xdr:col>
      <xdr:colOff>426244</xdr:colOff>
      <xdr:row>3</xdr:row>
      <xdr:rowOff>64293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5EECA39-3DDC-41A2-BDFD-AD8C8126AC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59" t="15881" r="71210" b="13262"/>
        <a:stretch/>
      </xdr:blipFill>
      <xdr:spPr>
        <a:xfrm>
          <a:off x="2014536" y="38100"/>
          <a:ext cx="726283" cy="6929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214312</xdr:rowOff>
    </xdr:from>
    <xdr:to>
      <xdr:col>0</xdr:col>
      <xdr:colOff>2000249</xdr:colOff>
      <xdr:row>20</xdr:row>
      <xdr:rowOff>176212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5D1169DC-4DE5-49F3-B8E0-2D3C84ABC1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38262"/>
              <a:ext cx="2000249" cy="2552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478838</xdr:colOff>
      <xdr:row>7</xdr:row>
      <xdr:rowOff>127138</xdr:rowOff>
    </xdr:from>
    <xdr:to>
      <xdr:col>9</xdr:col>
      <xdr:colOff>462170</xdr:colOff>
      <xdr:row>15</xdr:row>
      <xdr:rowOff>91501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61C0A936-50ED-473B-8999-11028C6BABF0}"/>
            </a:ext>
          </a:extLst>
        </xdr:cNvPr>
        <xdr:cNvGrpSpPr/>
      </xdr:nvGrpSpPr>
      <xdr:grpSpPr>
        <a:xfrm>
          <a:off x="2793413" y="1251088"/>
          <a:ext cx="4783932" cy="1650288"/>
          <a:chOff x="2874168" y="1578686"/>
          <a:chExt cx="4992498" cy="1599836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4C0CA88A-E04E-4075-B26A-165B6B0F57B0}"/>
              </a:ext>
            </a:extLst>
          </xdr:cNvPr>
          <xdr:cNvSpPr/>
        </xdr:nvSpPr>
        <xdr:spPr>
          <a:xfrm>
            <a:off x="2874168" y="1593056"/>
            <a:ext cx="4986338" cy="1585466"/>
          </a:xfrm>
          <a:prstGeom prst="roundRect">
            <a:avLst>
              <a:gd name="adj" fmla="val 1335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5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851DC455-1EC5-4D74-ADF4-E1E398006F92}"/>
              </a:ext>
            </a:extLst>
          </xdr:cNvPr>
          <xdr:cNvSpPr/>
        </xdr:nvSpPr>
        <xdr:spPr>
          <a:xfrm>
            <a:off x="4305299" y="1907381"/>
            <a:ext cx="3155156" cy="1216819"/>
          </a:xfrm>
          <a:prstGeom prst="roundRect">
            <a:avLst>
              <a:gd name="adj" fmla="val 6030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625A59F-FD68-4254-A31E-8FE7F36EA8BB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2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7E6D4FBF-9E2B-4BC5-8FF7-1CD5FA69A2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107531" y="1932384"/>
            <a:ext cx="1362075" cy="1166813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E2DBAC32-7BA8-4C1F-9AA4-5F30422CE72B}"/>
              </a:ext>
            </a:extLst>
          </xdr:cNvPr>
          <xdr:cNvSpPr/>
        </xdr:nvSpPr>
        <xdr:spPr>
          <a:xfrm>
            <a:off x="2875401" y="1578686"/>
            <a:ext cx="4991265" cy="507206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/>
              <a:t>TOTAL</a:t>
            </a:r>
            <a:r>
              <a:rPr lang="pt-BR" sz="1400" baseline="0"/>
              <a:t> SUBSCRIPTIONS EA PLAY SEASON PASS</a:t>
            </a:r>
            <a:endParaRPr lang="pt-BR" sz="1400"/>
          </a:p>
        </xdr:txBody>
      </xdr:sp>
    </xdr:grpSp>
    <xdr:clientData/>
  </xdr:twoCellAnchor>
  <xdr:twoCellAnchor>
    <xdr:from>
      <xdr:col>11</xdr:col>
      <xdr:colOff>425311</xdr:colOff>
      <xdr:row>7</xdr:row>
      <xdr:rowOff>144946</xdr:rowOff>
    </xdr:from>
    <xdr:to>
      <xdr:col>18</xdr:col>
      <xdr:colOff>674618</xdr:colOff>
      <xdr:row>15</xdr:row>
      <xdr:rowOff>125896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4CF7CEB0-569F-4409-9DA6-D7B3B0CEF5BF}"/>
            </a:ext>
          </a:extLst>
        </xdr:cNvPr>
        <xdr:cNvGrpSpPr/>
      </xdr:nvGrpSpPr>
      <xdr:grpSpPr>
        <a:xfrm>
          <a:off x="8912086" y="1268896"/>
          <a:ext cx="4868932" cy="1666875"/>
          <a:chOff x="8724899" y="1762126"/>
          <a:chExt cx="4695826" cy="1714500"/>
        </a:xfrm>
      </xdr:grpSpPr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C8173443-3099-431A-B22E-D87F494F9F6F}"/>
              </a:ext>
            </a:extLst>
          </xdr:cNvPr>
          <xdr:cNvGrpSpPr/>
        </xdr:nvGrpSpPr>
        <xdr:grpSpPr>
          <a:xfrm>
            <a:off x="8724899" y="1762126"/>
            <a:ext cx="4695826" cy="1714500"/>
            <a:chOff x="2874168" y="1578686"/>
            <a:chExt cx="4992498" cy="1738007"/>
          </a:xfrm>
        </xdr:grpSpPr>
        <xdr:sp macro="" textlink="">
          <xdr:nvSpPr>
            <xdr:cNvPr id="18" name="Retângulo: Cantos Arredondados 17">
              <a:extLst>
                <a:ext uri="{FF2B5EF4-FFF2-40B4-BE49-F238E27FC236}">
                  <a16:creationId xmlns:a16="http://schemas.microsoft.com/office/drawing/2014/main" id="{A28CF5F0-544D-49B6-904C-53542CAB5E4D}"/>
                </a:ext>
              </a:extLst>
            </xdr:cNvPr>
            <xdr:cNvSpPr/>
          </xdr:nvSpPr>
          <xdr:spPr>
            <a:xfrm>
              <a:off x="2874168" y="1731227"/>
              <a:ext cx="4986338" cy="1585466"/>
            </a:xfrm>
            <a:prstGeom prst="roundRect">
              <a:avLst>
                <a:gd name="adj" fmla="val 13352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6">
          <xdr:nvSpPr>
            <xdr:cNvPr id="19" name="Retângulo: Cantos Arredondados 18">
              <a:extLst>
                <a:ext uri="{FF2B5EF4-FFF2-40B4-BE49-F238E27FC236}">
                  <a16:creationId xmlns:a16="http://schemas.microsoft.com/office/drawing/2014/main" id="{341CA922-62E4-43EC-A37E-61A4B5C48538}"/>
                </a:ext>
              </a:extLst>
            </xdr:cNvPr>
            <xdr:cNvSpPr/>
          </xdr:nvSpPr>
          <xdr:spPr>
            <a:xfrm>
              <a:off x="4598233" y="2011009"/>
              <a:ext cx="3155156" cy="1216819"/>
            </a:xfrm>
            <a:prstGeom prst="roundRect">
              <a:avLst>
                <a:gd name="adj" fmla="val 6030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BF808D2-817A-4DE3-B713-F52AE5AF03C3}" type="TxLink">
                <a:rPr lang="en-US" sz="3200" b="0" i="0" u="none" strike="noStrike">
                  <a:solidFill>
                    <a:srgbClr val="22C55E"/>
                  </a:solidFill>
                  <a:latin typeface="Aptos Narrow"/>
                </a:rPr>
                <a:t> R$ 1.140,00 </a:t>
              </a:fld>
              <a:endParaRPr lang="pt-BR" sz="3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1" name="Retângulo: Cantos Superiores Arredondados 20">
              <a:extLst>
                <a:ext uri="{FF2B5EF4-FFF2-40B4-BE49-F238E27FC236}">
                  <a16:creationId xmlns:a16="http://schemas.microsoft.com/office/drawing/2014/main" id="{04943A4C-EDB7-4030-B2BC-753816573868}"/>
                </a:ext>
              </a:extLst>
            </xdr:cNvPr>
            <xdr:cNvSpPr/>
          </xdr:nvSpPr>
          <xdr:spPr>
            <a:xfrm>
              <a:off x="2875401" y="1578686"/>
              <a:ext cx="4991265" cy="507206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/>
                <a:t>TOTAL</a:t>
              </a:r>
              <a:r>
                <a:rPr lang="pt-BR" sz="1400" baseline="0"/>
                <a:t> SUBSCRIPTIONS MINECRAFT SEASON PASS</a:t>
              </a:r>
              <a:endParaRPr lang="pt-BR" sz="1400"/>
            </a:p>
          </xdr:txBody>
        </xdr:sp>
      </xdr:grp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0FE290DA-3233-4424-A1E6-BA1578EADC93}"/>
              </a:ext>
            </a:extLst>
          </xdr:cNvPr>
          <xdr:cNvGrpSpPr/>
        </xdr:nvGrpSpPr>
        <xdr:grpSpPr>
          <a:xfrm>
            <a:off x="8952921" y="2452163"/>
            <a:ext cx="1355539" cy="545210"/>
            <a:chOff x="3495675" y="5400674"/>
            <a:chExt cx="1549476" cy="752476"/>
          </a:xfrm>
        </xdr:grpSpPr>
        <xdr:pic>
          <xdr:nvPicPr>
            <xdr:cNvPr id="23" name="Imagem 22">
              <a:extLst>
                <a:ext uri="{FF2B5EF4-FFF2-40B4-BE49-F238E27FC236}">
                  <a16:creationId xmlns:a16="http://schemas.microsoft.com/office/drawing/2014/main" id="{EEE8075F-CDD0-4408-972E-F1A8FDBEBA7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4" name="Gráfico 23">
              <a:extLst>
                <a:ext uri="{FF2B5EF4-FFF2-40B4-BE49-F238E27FC236}">
                  <a16:creationId xmlns:a16="http://schemas.microsoft.com/office/drawing/2014/main" id="{044AC2F3-1314-4BB4-8CD3-E70F2782E6D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438148</xdr:colOff>
      <xdr:row>20</xdr:row>
      <xdr:rowOff>28576</xdr:rowOff>
    </xdr:from>
    <xdr:to>
      <xdr:col>19</xdr:col>
      <xdr:colOff>0</xdr:colOff>
      <xdr:row>36</xdr:row>
      <xdr:rowOff>152400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A646A71D-172A-438A-BB36-C49C2213095D}"/>
            </a:ext>
          </a:extLst>
        </xdr:cNvPr>
        <xdr:cNvGrpSpPr/>
      </xdr:nvGrpSpPr>
      <xdr:grpSpPr>
        <a:xfrm>
          <a:off x="2752723" y="3743326"/>
          <a:ext cx="11039477" cy="3019424"/>
          <a:chOff x="2819398" y="4286251"/>
          <a:chExt cx="10763252" cy="3019424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917B36BE-53A5-4CA9-BFA7-3F59AF4F0C94}"/>
              </a:ext>
            </a:extLst>
          </xdr:cNvPr>
          <xdr:cNvGrpSpPr/>
        </xdr:nvGrpSpPr>
        <xdr:grpSpPr>
          <a:xfrm>
            <a:off x="2819398" y="4305300"/>
            <a:ext cx="10763252" cy="3000375"/>
            <a:chOff x="2631280" y="1416844"/>
            <a:chExt cx="5238751" cy="2833687"/>
          </a:xfrm>
        </xdr:grpSpPr>
        <xdr:sp macro="" textlink="">
          <xdr:nvSpPr>
            <xdr:cNvPr id="2" name="Retângulo: Cantos Arredondados 1">
              <a:extLst>
                <a:ext uri="{FF2B5EF4-FFF2-40B4-BE49-F238E27FC236}">
                  <a16:creationId xmlns:a16="http://schemas.microsoft.com/office/drawing/2014/main" id="{D6E05E40-53F4-4940-BC0F-6FFBC750460E}"/>
                </a:ext>
              </a:extLst>
            </xdr:cNvPr>
            <xdr:cNvSpPr/>
          </xdr:nvSpPr>
          <xdr:spPr>
            <a:xfrm>
              <a:off x="2631280" y="1416844"/>
              <a:ext cx="5238751" cy="2833687"/>
            </a:xfrm>
            <a:prstGeom prst="roundRect">
              <a:avLst>
                <a:gd name="adj" fmla="val 9944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08BFE41D-261C-445E-B753-E689817F877A}"/>
                </a:ext>
              </a:extLst>
            </xdr:cNvPr>
            <xdr:cNvGraphicFramePr>
              <a:graphicFrameLocks/>
            </xdr:cNvGraphicFramePr>
          </xdr:nvGraphicFramePr>
          <xdr:xfrm>
            <a:off x="2895599" y="1767681"/>
            <a:ext cx="4855369" cy="246141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32" name="Retângulo: Cantos Superiores Arredondados 31">
            <a:extLst>
              <a:ext uri="{FF2B5EF4-FFF2-40B4-BE49-F238E27FC236}">
                <a16:creationId xmlns:a16="http://schemas.microsoft.com/office/drawing/2014/main" id="{6A38EF06-178E-49F4-B86D-88D849A732E9}"/>
              </a:ext>
            </a:extLst>
          </xdr:cNvPr>
          <xdr:cNvSpPr/>
        </xdr:nvSpPr>
        <xdr:spPr>
          <a:xfrm>
            <a:off x="2819400" y="4286251"/>
            <a:ext cx="10763250" cy="495299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/>
              <a:t>TOTAL</a:t>
            </a:r>
            <a:r>
              <a:rPr lang="pt-BR" sz="1400" baseline="0"/>
              <a:t> SUBSCRIPTIONS XBOX GAME PASS</a:t>
            </a:r>
            <a:endParaRPr lang="pt-BR" sz="1400"/>
          </a:p>
        </xdr:txBody>
      </xdr:sp>
    </xdr:grpSp>
    <xdr:clientData/>
  </xdr:twoCellAnchor>
  <xdr:twoCellAnchor editAs="absolute">
    <xdr:from>
      <xdr:col>0</xdr:col>
      <xdr:colOff>485775</xdr:colOff>
      <xdr:row>0</xdr:row>
      <xdr:rowOff>133350</xdr:rowOff>
    </xdr:from>
    <xdr:to>
      <xdr:col>0</xdr:col>
      <xdr:colOff>1257300</xdr:colOff>
      <xdr:row>4</xdr:row>
      <xdr:rowOff>19050</xdr:rowOff>
    </xdr:to>
    <xdr:sp macro="" textlink="">
      <xdr:nvSpPr>
        <xdr:cNvPr id="34" name="Elipse 33">
          <a:extLst>
            <a:ext uri="{FF2B5EF4-FFF2-40B4-BE49-F238E27FC236}">
              <a16:creationId xmlns:a16="http://schemas.microsoft.com/office/drawing/2014/main" id="{F352782D-014D-46FA-849B-C1411916180C}"/>
            </a:ext>
          </a:extLst>
        </xdr:cNvPr>
        <xdr:cNvSpPr/>
      </xdr:nvSpPr>
      <xdr:spPr>
        <a:xfrm>
          <a:off x="485775" y="133350"/>
          <a:ext cx="771525" cy="6572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180975</xdr:colOff>
      <xdr:row>4</xdr:row>
      <xdr:rowOff>57150</xdr:rowOff>
    </xdr:from>
    <xdr:to>
      <xdr:col>0</xdr:col>
      <xdr:colOff>1876425</xdr:colOff>
      <xdr:row>6</xdr:row>
      <xdr:rowOff>114300</xdr:rowOff>
    </xdr:to>
    <xdr:sp macro="" textlink="">
      <xdr:nvSpPr>
        <xdr:cNvPr id="35" name="Retângulo: Cantos Arredondados 34">
          <a:extLst>
            <a:ext uri="{FF2B5EF4-FFF2-40B4-BE49-F238E27FC236}">
              <a16:creationId xmlns:a16="http://schemas.microsoft.com/office/drawing/2014/main" id="{7A25FB0B-84B9-49D9-B1D9-43ED7E7BCC1E}"/>
            </a:ext>
          </a:extLst>
        </xdr:cNvPr>
        <xdr:cNvSpPr/>
      </xdr:nvSpPr>
      <xdr:spPr>
        <a:xfrm>
          <a:off x="180975" y="828675"/>
          <a:ext cx="1695450" cy="285750"/>
        </a:xfrm>
        <a:prstGeom prst="roundRect">
          <a:avLst/>
        </a:prstGeom>
        <a:solidFill>
          <a:srgbClr val="22C55E"/>
        </a:solidFill>
        <a:ln>
          <a:solidFill>
            <a:srgbClr val="22C55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&gt; Bem</a:t>
          </a:r>
          <a:r>
            <a:rPr lang="pt-BR" sz="1100" baseline="0"/>
            <a:t> vinda, Fulana </a:t>
          </a:r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tor" refreshedDate="46140.487329398151" createdVersion="7" refreshedVersion="7" minRefreshableVersion="3" recordCount="295" xr:uid="{C0AEAE42-BE1C-43B1-88D8-4E61133EFDB6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84040423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E6FEF8-4605-4417-A734-CEB678F08387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6" baseItem="0"/>
  </dataField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001853-4864-4E2B-A38E-87AF80D6CB3E}" name="Tabela dinâmica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07CB48-60D7-4442-8271-21FC897470DA}" name="Tabela dinâ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B51E4ACD-E895-4E1D-8571-75DF878C177A}" sourceName="Subscription Type">
  <pivotTables>
    <pivotTable tabId="3" name="Tabela dinâmica1"/>
    <pivotTable tabId="3" name="Tabela dinâmica2"/>
    <pivotTable tabId="3" name="Tabela dinâmica3"/>
  </pivotTables>
  <data>
    <tabular pivotCacheId="1840404236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460FD4F6-1340-43BB-9FF6-D57315348981}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36" sqref="E36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36"/>
  <sheetViews>
    <sheetView showGridLines="0" zoomScaleNormal="100" workbookViewId="0">
      <selection activeCell="J2" sqref="J2"/>
    </sheetView>
  </sheetViews>
  <sheetFormatPr defaultRowHeight="14.25"/>
  <cols>
    <col min="2" max="2" width="18" bestFit="1" customWidth="1"/>
    <col min="3" max="3" width="35.125" bestFit="1" customWidth="1"/>
    <col min="4" max="4" width="8.875" bestFit="1" customWidth="1"/>
    <col min="5" max="5" width="12" bestFit="1" customWidth="1"/>
    <col min="6" max="6" width="10.7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3">
      <c r="B3" t="s">
        <v>313</v>
      </c>
    </row>
    <row r="5" spans="2:3" ht="15">
      <c r="B5" t="s">
        <v>314</v>
      </c>
    </row>
    <row r="6" spans="2:3">
      <c r="B6" t="s">
        <v>318</v>
      </c>
    </row>
    <row r="9" spans="2:3">
      <c r="B9" s="12" t="s">
        <v>16</v>
      </c>
      <c r="C9" t="s">
        <v>27</v>
      </c>
    </row>
    <row r="11" spans="2:3">
      <c r="B11" s="12" t="s">
        <v>315</v>
      </c>
      <c r="C11" t="s">
        <v>317</v>
      </c>
    </row>
    <row r="12" spans="2:3">
      <c r="B12" s="13" t="s">
        <v>23</v>
      </c>
      <c r="C12" s="20">
        <v>806</v>
      </c>
    </row>
    <row r="13" spans="2:3">
      <c r="B13" s="13" t="s">
        <v>19</v>
      </c>
      <c r="C13" s="20">
        <v>1502</v>
      </c>
    </row>
    <row r="14" spans="2:3">
      <c r="B14" s="13" t="s">
        <v>316</v>
      </c>
      <c r="C14" s="20">
        <v>2308</v>
      </c>
    </row>
    <row r="17" spans="2:5">
      <c r="B17" s="13" t="s">
        <v>320</v>
      </c>
    </row>
    <row r="19" spans="2:5">
      <c r="B19" s="12" t="s">
        <v>16</v>
      </c>
      <c r="C19" t="s">
        <v>27</v>
      </c>
    </row>
    <row r="21" spans="2:5">
      <c r="B21" s="12" t="s">
        <v>315</v>
      </c>
      <c r="C21" t="s">
        <v>321</v>
      </c>
    </row>
    <row r="22" spans="2:5">
      <c r="B22" s="13" t="s">
        <v>22</v>
      </c>
      <c r="C22" s="20">
        <v>0</v>
      </c>
    </row>
    <row r="23" spans="2:5">
      <c r="B23" s="13" t="s">
        <v>26</v>
      </c>
      <c r="C23" s="20">
        <v>0</v>
      </c>
    </row>
    <row r="24" spans="2:5">
      <c r="B24" s="13" t="s">
        <v>18</v>
      </c>
      <c r="C24" s="20">
        <v>990</v>
      </c>
    </row>
    <row r="25" spans="2:5">
      <c r="B25" s="13" t="s">
        <v>316</v>
      </c>
      <c r="C25" s="20">
        <v>990</v>
      </c>
      <c r="E25" s="19">
        <f>GETPIVOTDATA("EA Play Season Pass
Price",$B$21)</f>
        <v>990</v>
      </c>
    </row>
    <row r="28" spans="2:5">
      <c r="B28" s="13" t="s">
        <v>322</v>
      </c>
    </row>
    <row r="30" spans="2:5">
      <c r="B30" s="12" t="s">
        <v>16</v>
      </c>
      <c r="C30" t="s">
        <v>27</v>
      </c>
    </row>
    <row r="32" spans="2:5">
      <c r="B32" s="12" t="s">
        <v>315</v>
      </c>
      <c r="C32" t="s">
        <v>323</v>
      </c>
    </row>
    <row r="33" spans="2:5">
      <c r="B33" s="13" t="s">
        <v>22</v>
      </c>
      <c r="C33" s="20">
        <v>0</v>
      </c>
    </row>
    <row r="34" spans="2:5">
      <c r="B34" s="13" t="s">
        <v>26</v>
      </c>
      <c r="C34" s="20">
        <v>480</v>
      </c>
    </row>
    <row r="35" spans="2:5">
      <c r="B35" s="13" t="s">
        <v>18</v>
      </c>
      <c r="C35" s="20">
        <v>660</v>
      </c>
    </row>
    <row r="36" spans="2:5">
      <c r="B36" s="13" t="s">
        <v>316</v>
      </c>
      <c r="C36" s="20">
        <v>1140</v>
      </c>
      <c r="E36" s="19">
        <f>GETPIVOTDATA("Minecraft Season Pass Price",$B$32)</f>
        <v>1140</v>
      </c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tabSelected="1" zoomScaleNormal="100" workbookViewId="0">
      <selection activeCell="C16" sqref="C16"/>
    </sheetView>
  </sheetViews>
  <sheetFormatPr defaultRowHeight="14.25"/>
  <cols>
    <col min="1" max="1" width="26.75" style="18" customWidth="1"/>
    <col min="2" max="2" width="3.625" customWidth="1"/>
    <col min="3" max="3" width="9" style="15"/>
    <col min="12" max="12" width="6.625" customWidth="1"/>
  </cols>
  <sheetData>
    <row r="2" spans="1:19" ht="22.5" customHeight="1" thickBot="1">
      <c r="C2" s="22" t="s">
        <v>319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21"/>
      <c r="S2" s="21"/>
    </row>
    <row r="3" spans="1:19" ht="15.75" customHeight="1" thickTop="1">
      <c r="C3" s="16"/>
    </row>
    <row r="4" spans="1:19" s="7" customFormat="1" ht="8.25" customHeight="1">
      <c r="A4" s="18"/>
      <c r="C4" s="14"/>
    </row>
    <row r="5" spans="1:19" s="7" customFormat="1" ht="7.5" customHeight="1">
      <c r="A5" s="18"/>
      <c r="C5" s="14"/>
    </row>
    <row r="6" spans="1:19" s="7" customFormat="1" ht="10.5" customHeight="1">
      <c r="A6" s="18"/>
      <c r="C6" s="14"/>
    </row>
    <row r="7" spans="1:19" s="7" customFormat="1" ht="9.75" customHeight="1">
      <c r="A7" s="18"/>
      <c r="C7" s="14"/>
    </row>
    <row r="8" spans="1:19" s="7" customFormat="1" ht="33" customHeight="1">
      <c r="A8" s="18"/>
      <c r="C8" s="14"/>
    </row>
    <row r="9" spans="1:19" s="7" customFormat="1">
      <c r="A9" s="18"/>
      <c r="C9" s="14"/>
    </row>
    <row r="10" spans="1:19" s="7" customFormat="1">
      <c r="A10" s="18"/>
      <c r="C10" s="14"/>
    </row>
    <row r="11" spans="1:19" s="7" customFormat="1">
      <c r="A11" s="18"/>
      <c r="C11" s="14"/>
    </row>
    <row r="12" spans="1:19" s="7" customFormat="1">
      <c r="A12" s="18"/>
      <c r="C12" s="14"/>
    </row>
    <row r="13" spans="1:19" s="7" customFormat="1">
      <c r="A13" s="18"/>
      <c r="C13" s="14"/>
    </row>
    <row r="14" spans="1:19" s="7" customFormat="1">
      <c r="A14" s="18"/>
      <c r="C14" s="14"/>
    </row>
    <row r="15" spans="1:19" s="7" customFormat="1">
      <c r="A15" s="18"/>
      <c r="C15" s="14"/>
    </row>
    <row r="16" spans="1:19" s="7" customFormat="1">
      <c r="A16" s="18"/>
      <c r="C16" s="14"/>
    </row>
    <row r="17" spans="1:3" s="7" customFormat="1">
      <c r="A17" s="18"/>
      <c r="C17" s="14"/>
    </row>
    <row r="18" spans="1:3" s="7" customFormat="1">
      <c r="A18" s="18"/>
      <c r="C18" s="14"/>
    </row>
    <row r="19" spans="1:3" s="7" customFormat="1">
      <c r="A19" s="18"/>
      <c r="C19" s="14"/>
    </row>
    <row r="20" spans="1:3" s="7" customFormat="1">
      <c r="A20" s="18"/>
      <c r="C20" s="14"/>
    </row>
    <row r="21" spans="1:3" s="7" customFormat="1">
      <c r="A21" s="18"/>
      <c r="C21" s="14"/>
    </row>
    <row r="22" spans="1:3" s="7" customFormat="1">
      <c r="A22" s="18"/>
      <c r="C22" s="14"/>
    </row>
    <row r="23" spans="1:3" s="7" customFormat="1">
      <c r="A23" s="18"/>
      <c r="C23" s="14"/>
    </row>
    <row r="24" spans="1:3" s="7" customFormat="1">
      <c r="A24" s="18"/>
      <c r="C24" s="14"/>
    </row>
    <row r="25" spans="1:3" s="7" customFormat="1">
      <c r="A25" s="18"/>
      <c r="C25" s="14"/>
    </row>
    <row r="26" spans="1:3" s="7" customFormat="1">
      <c r="A26" s="18"/>
      <c r="C26" s="14"/>
    </row>
    <row r="27" spans="1:3" s="7" customFormat="1">
      <c r="A27" s="18"/>
      <c r="C27" s="14"/>
    </row>
    <row r="28" spans="1:3" s="7" customFormat="1">
      <c r="A28" s="18"/>
      <c r="C28" s="14"/>
    </row>
    <row r="29" spans="1:3" s="7" customFormat="1">
      <c r="A29" s="18"/>
      <c r="C29" s="14"/>
    </row>
    <row r="30" spans="1:3" s="7" customFormat="1">
      <c r="A30" s="18"/>
      <c r="C30" s="14"/>
    </row>
    <row r="31" spans="1:3" s="7" customFormat="1">
      <c r="A31" s="18"/>
      <c r="C31" s="14"/>
    </row>
    <row r="32" spans="1:3" s="7" customFormat="1">
      <c r="A32" s="18"/>
      <c r="C32" s="14"/>
    </row>
    <row r="33" spans="1:3" s="7" customFormat="1">
      <c r="A33" s="18"/>
      <c r="C33" s="14"/>
    </row>
    <row r="34" spans="1:3" s="7" customFormat="1">
      <c r="A34" s="18"/>
      <c r="C34" s="14"/>
    </row>
    <row r="35" spans="1:3" s="7" customFormat="1">
      <c r="A35" s="18"/>
      <c r="C35" s="14"/>
    </row>
    <row r="36" spans="1:3" s="7" customFormat="1">
      <c r="A36" s="18"/>
      <c r="C36" s="14"/>
    </row>
    <row r="37" spans="1:3" s="7" customFormat="1">
      <c r="A37" s="18"/>
      <c r="C37" s="14"/>
    </row>
    <row r="38" spans="1:3" s="7" customFormat="1">
      <c r="A38" s="18"/>
      <c r="C38" s="14"/>
    </row>
    <row r="39" spans="1:3" s="7" customFormat="1">
      <c r="A39" s="18"/>
      <c r="C39" s="14"/>
    </row>
    <row r="40" spans="1:3" s="7" customFormat="1">
      <c r="A40" s="18"/>
      <c r="C40" s="14"/>
    </row>
    <row r="41" spans="1:3" s="7" customFormat="1">
      <c r="A41" s="18"/>
      <c r="C41" s="14"/>
    </row>
    <row r="42" spans="1:3" s="7" customFormat="1">
      <c r="A42" s="18"/>
      <c r="C42" s="14"/>
    </row>
    <row r="43" spans="1:3" s="7" customFormat="1">
      <c r="A43" s="18"/>
      <c r="C43" s="14"/>
    </row>
    <row r="44" spans="1:3" s="7" customFormat="1">
      <c r="A44" s="18"/>
      <c r="C44" s="14"/>
    </row>
    <row r="45" spans="1:3" s="7" customFormat="1">
      <c r="A45" s="18"/>
      <c r="C45" s="14"/>
    </row>
    <row r="46" spans="1:3" s="7" customFormat="1">
      <c r="A46" s="18"/>
      <c r="C46" s="14"/>
    </row>
    <row r="47" spans="1:3" s="7" customFormat="1">
      <c r="A47" s="18"/>
      <c r="C47" s="14"/>
    </row>
    <row r="48" spans="1:3" s="7" customFormat="1">
      <c r="A48" s="18"/>
      <c r="C48" s="14"/>
    </row>
    <row r="49" spans="1:3" s="7" customFormat="1">
      <c r="A49" s="18"/>
      <c r="C49" s="14"/>
    </row>
    <row r="50" spans="1:3" s="7" customFormat="1">
      <c r="A50" s="18"/>
      <c r="C50" s="14"/>
    </row>
    <row r="51" spans="1:3" s="7" customFormat="1">
      <c r="A51" s="18"/>
      <c r="C51" s="14"/>
    </row>
    <row r="52" spans="1:3" s="7" customFormat="1">
      <c r="A52" s="18"/>
      <c r="C52" s="14"/>
    </row>
    <row r="53" spans="1:3" s="7" customFormat="1">
      <c r="A53" s="18"/>
      <c r="C53" s="14"/>
    </row>
    <row r="54" spans="1:3" s="7" customFormat="1">
      <c r="A54" s="18"/>
      <c r="C54" s="14"/>
    </row>
    <row r="55" spans="1:3" s="7" customFormat="1">
      <c r="A55" s="18"/>
      <c r="C55" s="14"/>
    </row>
    <row r="56" spans="1:3" s="7" customFormat="1">
      <c r="A56" s="18"/>
      <c r="C56" s="14"/>
    </row>
    <row r="57" spans="1:3" s="7" customFormat="1">
      <c r="A57" s="18"/>
      <c r="C57" s="14"/>
    </row>
    <row r="58" spans="1:3" s="7" customFormat="1">
      <c r="A58" s="18"/>
      <c r="C58" s="14"/>
    </row>
    <row r="59" spans="1:3" s="7" customFormat="1">
      <c r="A59" s="18"/>
      <c r="C59" s="14"/>
    </row>
    <row r="60" spans="1:3" s="7" customFormat="1">
      <c r="A60" s="18"/>
      <c r="C60" s="14"/>
    </row>
    <row r="61" spans="1:3" s="7" customFormat="1">
      <c r="A61" s="18"/>
      <c r="C61" s="14"/>
    </row>
    <row r="62" spans="1:3" s="7" customFormat="1">
      <c r="A62" s="18"/>
      <c r="C62" s="14"/>
    </row>
    <row r="63" spans="1:3" s="7" customFormat="1">
      <c r="A63" s="18"/>
      <c r="C63" s="14"/>
    </row>
    <row r="64" spans="1:3" s="7" customFormat="1">
      <c r="A64" s="18"/>
      <c r="C64" s="14"/>
    </row>
    <row r="65" spans="1:3" s="7" customFormat="1">
      <c r="A65" s="18"/>
      <c r="C65" s="14"/>
    </row>
    <row r="66" spans="1:3" s="7" customFormat="1">
      <c r="A66" s="18"/>
      <c r="C66" s="14"/>
    </row>
    <row r="67" spans="1:3" s="7" customFormat="1">
      <c r="A67" s="18"/>
      <c r="C67" s="14"/>
    </row>
    <row r="68" spans="1:3" s="7" customFormat="1">
      <c r="A68" s="18"/>
      <c r="C68" s="14"/>
    </row>
    <row r="69" spans="1:3" s="7" customFormat="1">
      <c r="A69" s="18"/>
      <c r="C69" s="14"/>
    </row>
    <row r="70" spans="1:3" s="7" customFormat="1">
      <c r="A70" s="18"/>
      <c r="C70" s="14"/>
    </row>
    <row r="71" spans="1:3" s="7" customFormat="1">
      <c r="A71" s="18"/>
      <c r="C71" s="14"/>
    </row>
    <row r="72" spans="1:3" s="7" customFormat="1">
      <c r="A72" s="18"/>
      <c r="C72" s="14"/>
    </row>
    <row r="73" spans="1:3" s="7" customFormat="1">
      <c r="A73" s="18"/>
      <c r="C73" s="14"/>
    </row>
    <row r="74" spans="1:3" s="7" customFormat="1">
      <c r="A74" s="18"/>
      <c r="C74" s="14"/>
    </row>
    <row r="75" spans="1:3" s="7" customFormat="1">
      <c r="A75" s="18"/>
      <c r="C75" s="14"/>
    </row>
    <row r="76" spans="1:3" s="7" customFormat="1">
      <c r="A76" s="18"/>
      <c r="C76" s="14"/>
    </row>
    <row r="77" spans="1:3" s="7" customFormat="1">
      <c r="A77" s="18"/>
      <c r="C77" s="14"/>
    </row>
    <row r="78" spans="1:3" s="7" customFormat="1">
      <c r="A78" s="18"/>
      <c r="C78" s="14"/>
    </row>
    <row r="79" spans="1:3" s="7" customFormat="1">
      <c r="A79" s="18"/>
      <c r="C79" s="14"/>
    </row>
    <row r="80" spans="1:3" s="7" customFormat="1">
      <c r="A80" s="18"/>
      <c r="C80" s="14"/>
    </row>
    <row r="81" spans="1:3" s="7" customFormat="1">
      <c r="A81" s="18"/>
      <c r="C81" s="14"/>
    </row>
    <row r="82" spans="1:3" s="7" customFormat="1">
      <c r="A82" s="18"/>
      <c r="C82" s="14"/>
    </row>
    <row r="83" spans="1:3" s="7" customFormat="1">
      <c r="A83" s="18"/>
      <c r="C83" s="14"/>
    </row>
    <row r="84" spans="1:3" s="7" customFormat="1">
      <c r="A84" s="18"/>
      <c r="C84" s="14"/>
    </row>
    <row r="85" spans="1:3" s="7" customFormat="1">
      <c r="A85" s="18"/>
      <c r="C85" s="14"/>
    </row>
    <row r="86" spans="1:3" s="7" customFormat="1">
      <c r="A86" s="18"/>
      <c r="C86" s="14"/>
    </row>
    <row r="87" spans="1:3" s="7" customFormat="1">
      <c r="A87" s="18"/>
      <c r="C87" s="14"/>
    </row>
    <row r="88" spans="1:3" s="7" customFormat="1">
      <c r="A88" s="18"/>
      <c r="C88" s="14"/>
    </row>
    <row r="89" spans="1:3" s="7" customFormat="1">
      <c r="A89" s="18"/>
      <c r="C89" s="14"/>
    </row>
    <row r="90" spans="1:3" s="7" customFormat="1">
      <c r="A90" s="18"/>
      <c r="C90" s="14"/>
    </row>
    <row r="91" spans="1:3" s="7" customFormat="1">
      <c r="A91" s="18"/>
      <c r="C91" s="14"/>
    </row>
    <row r="92" spans="1:3" s="7" customFormat="1">
      <c r="A92" s="18"/>
      <c r="C92" s="14"/>
    </row>
    <row r="93" spans="1:3" s="7" customFormat="1">
      <c r="A93" s="18"/>
      <c r="C93" s="14"/>
    </row>
    <row r="94" spans="1:3" s="7" customFormat="1">
      <c r="A94" s="18"/>
      <c r="C94" s="14"/>
    </row>
    <row r="95" spans="1:3" s="7" customFormat="1">
      <c r="A95" s="18"/>
      <c r="C95" s="14"/>
    </row>
    <row r="96" spans="1:3" s="7" customFormat="1">
      <c r="A96" s="18"/>
      <c r="C96" s="14"/>
    </row>
    <row r="97" spans="1:3" s="7" customFormat="1">
      <c r="A97" s="18"/>
      <c r="C97" s="14"/>
    </row>
    <row r="98" spans="1:3" s="7" customFormat="1">
      <c r="A98" s="18"/>
      <c r="C98" s="14"/>
    </row>
    <row r="99" spans="1:3" s="7" customFormat="1">
      <c r="A99" s="18"/>
      <c r="C99" s="14"/>
    </row>
    <row r="100" spans="1:3" s="7" customFormat="1">
      <c r="A100" s="18"/>
      <c r="C100" s="14"/>
    </row>
    <row r="101" spans="1:3" s="7" customFormat="1">
      <c r="A101" s="18"/>
      <c r="C101" s="14"/>
    </row>
    <row r="102" spans="1:3" s="7" customFormat="1">
      <c r="A102" s="18"/>
      <c r="C102" s="14"/>
    </row>
    <row r="103" spans="1:3" s="7" customFormat="1">
      <c r="A103" s="18"/>
      <c r="C103" s="14"/>
    </row>
    <row r="104" spans="1:3" s="7" customFormat="1">
      <c r="A104" s="18"/>
      <c r="C104" s="14"/>
    </row>
    <row r="105" spans="1:3" s="7" customFormat="1">
      <c r="A105" s="18"/>
      <c r="C105" s="14"/>
    </row>
    <row r="106" spans="1:3" s="7" customFormat="1">
      <c r="A106" s="18"/>
      <c r="C106" s="14"/>
    </row>
    <row r="107" spans="1:3" s="7" customFormat="1">
      <c r="A107" s="18"/>
      <c r="C107" s="14"/>
    </row>
    <row r="108" spans="1:3" s="7" customFormat="1">
      <c r="A108" s="18"/>
      <c r="C108" s="14"/>
    </row>
    <row r="109" spans="1:3" s="7" customFormat="1">
      <c r="A109" s="18"/>
      <c r="C109" s="14"/>
    </row>
    <row r="110" spans="1:3" s="7" customFormat="1">
      <c r="A110" s="18"/>
      <c r="C110" s="14"/>
    </row>
    <row r="111" spans="1:3" s="7" customFormat="1">
      <c r="A111" s="18"/>
      <c r="C111" s="14"/>
    </row>
    <row r="112" spans="1:3" s="7" customFormat="1">
      <c r="A112" s="18"/>
      <c r="C112" s="14"/>
    </row>
    <row r="113" spans="1:3" s="7" customFormat="1">
      <c r="A113" s="18"/>
      <c r="C113" s="14"/>
    </row>
    <row r="114" spans="1:3" s="7" customFormat="1">
      <c r="A114" s="18"/>
      <c r="C114" s="14"/>
    </row>
    <row r="115" spans="1:3" s="7" customFormat="1">
      <c r="A115" s="18"/>
      <c r="C115" s="14"/>
    </row>
    <row r="116" spans="1:3" s="7" customFormat="1">
      <c r="A116" s="18"/>
      <c r="C116" s="14"/>
    </row>
    <row r="117" spans="1:3" s="7" customFormat="1">
      <c r="A117" s="18"/>
      <c r="C117" s="14"/>
    </row>
    <row r="118" spans="1:3" s="7" customFormat="1">
      <c r="A118" s="18"/>
      <c r="C118" s="14"/>
    </row>
    <row r="119" spans="1:3" s="7" customFormat="1">
      <c r="A119" s="18"/>
      <c r="C119" s="14"/>
    </row>
    <row r="120" spans="1:3" s="7" customFormat="1">
      <c r="A120" s="18"/>
      <c r="C120" s="14"/>
    </row>
    <row r="121" spans="1:3" s="7" customFormat="1">
      <c r="A121" s="18"/>
      <c r="C121" s="14"/>
    </row>
    <row r="122" spans="1:3" s="7" customFormat="1">
      <c r="A122" s="18"/>
      <c r="C122" s="14"/>
    </row>
    <row r="123" spans="1:3" s="7" customFormat="1">
      <c r="A123" s="18"/>
      <c r="C123" s="14"/>
    </row>
    <row r="124" spans="1:3" s="7" customFormat="1">
      <c r="A124" s="18"/>
      <c r="C124" s="14"/>
    </row>
    <row r="125" spans="1:3" s="7" customFormat="1">
      <c r="A125" s="18"/>
      <c r="C125" s="14"/>
    </row>
    <row r="126" spans="1:3" s="7" customFormat="1">
      <c r="A126" s="18"/>
      <c r="C126" s="14"/>
    </row>
    <row r="127" spans="1:3" s="7" customFormat="1">
      <c r="A127" s="18"/>
      <c r="C127" s="14"/>
    </row>
    <row r="128" spans="1:3" s="7" customFormat="1">
      <c r="A128" s="18"/>
      <c r="C128" s="14"/>
    </row>
    <row r="129" spans="1:3" s="7" customFormat="1">
      <c r="A129" s="18"/>
      <c r="C129" s="14"/>
    </row>
    <row r="130" spans="1:3" s="7" customFormat="1">
      <c r="A130" s="18"/>
      <c r="C130" s="14"/>
    </row>
    <row r="131" spans="1:3" s="7" customFormat="1">
      <c r="A131" s="18"/>
      <c r="C131" s="14"/>
    </row>
    <row r="132" spans="1:3" s="7" customFormat="1">
      <c r="A132" s="18"/>
      <c r="C132" s="14"/>
    </row>
    <row r="133" spans="1:3" s="7" customFormat="1">
      <c r="A133" s="18"/>
      <c r="C133" s="14"/>
    </row>
    <row r="134" spans="1:3" s="7" customFormat="1">
      <c r="A134" s="18"/>
      <c r="C134" s="14"/>
    </row>
    <row r="135" spans="1:3" s="7" customFormat="1">
      <c r="A135" s="18"/>
      <c r="C135" s="14"/>
    </row>
    <row r="136" spans="1:3" s="7" customFormat="1">
      <c r="A136" s="18"/>
      <c r="C136" s="1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Vitor</cp:lastModifiedBy>
  <dcterms:created xsi:type="dcterms:W3CDTF">2024-12-19T13:13:10Z</dcterms:created>
  <dcterms:modified xsi:type="dcterms:W3CDTF">2026-04-28T19:10:01Z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